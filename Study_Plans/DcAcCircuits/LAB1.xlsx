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mos\local_Documents\M_Arch\Study_Plans\DcAcCircuits\"/>
    </mc:Choice>
  </mc:AlternateContent>
  <xr:revisionPtr revIDLastSave="0" documentId="13_ncr:1_{EB19972D-135D-4C7C-9606-DB9BC570314D}" xr6:coauthVersionLast="47" xr6:coauthVersionMax="47" xr10:uidLastSave="{00000000-0000-0000-0000-000000000000}"/>
  <bookViews>
    <workbookView xWindow="-120" yWindow="-120" windowWidth="38640" windowHeight="21120" activeTab="2" xr2:uid="{9790BB06-835B-421B-B574-695F61F1FFC5}"/>
  </bookViews>
  <sheets>
    <sheet name="Resistor as X element" sheetId="2" r:id="rId1"/>
    <sheet name="Light Bulb as X element" sheetId="3" r:id="rId2"/>
    <sheet name="Diode as X Element" sheetId="5" r:id="rId3"/>
    <sheet name="Lab 1 Data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38" i="1" l="1"/>
  <c r="P39" i="1"/>
  <c r="P40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7" i="1"/>
</calcChain>
</file>

<file path=xl/sharedStrings.xml><?xml version="1.0" encoding="utf-8"?>
<sst xmlns="http://schemas.openxmlformats.org/spreadsheetml/2006/main" count="14" uniqueCount="8">
  <si>
    <t>DC/AC Circuits Fall 26 Lab 1</t>
  </si>
  <si>
    <t>Part B: I-V Characteristics</t>
  </si>
  <si>
    <r>
      <t>Resistor as X element. R=32.84k</t>
    </r>
    <r>
      <rPr>
        <sz val="11"/>
        <color theme="1"/>
        <rFont val="Aptos Narrow"/>
        <family val="2"/>
      </rPr>
      <t>Ω</t>
    </r>
  </si>
  <si>
    <t>Volts (V)</t>
  </si>
  <si>
    <t>Measured Current (mA)</t>
  </si>
  <si>
    <t>Light Bulb as X element</t>
  </si>
  <si>
    <r>
      <t>Diode as X element with R=21.9k</t>
    </r>
    <r>
      <rPr>
        <sz val="11"/>
        <color theme="1"/>
        <rFont val="Aptos Narrow"/>
        <family val="2"/>
      </rPr>
      <t>Ω</t>
    </r>
  </si>
  <si>
    <t>Diode as X element with R=21.9kΩ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</si>
</sst>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3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'Lab 1 Data'!$A$5</c:f>
              <c:strCache>
                <c:ptCount val="1"/>
                <c:pt idx="0">
                  <c:v>Resistor as X element. R=32.84kΩ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'Lab 1 Data'!$A$7:$A$37</c:f>
              <c:numCache>
                <c:formatCode>General</c:formatCode>
                <c:ptCount val="3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</c:numCache>
            </c:numRef>
          </c:xVal>
          <c:yVal>
            <c:numRef>
              <c:f>'Lab 1 Data'!$B$7:$B$37</c:f>
              <c:numCache>
                <c:formatCode>General</c:formatCode>
                <c:ptCount val="31"/>
                <c:pt idx="0">
                  <c:v>-1.6E-2</c:v>
                </c:pt>
                <c:pt idx="1">
                  <c:v>1.6E-2</c:v>
                </c:pt>
                <c:pt idx="2">
                  <c:v>2.9000000000000001E-2</c:v>
                </c:pt>
                <c:pt idx="3">
                  <c:v>4.4999999999999998E-2</c:v>
                </c:pt>
                <c:pt idx="4">
                  <c:v>0.06</c:v>
                </c:pt>
                <c:pt idx="5">
                  <c:v>7.5999999999999998E-2</c:v>
                </c:pt>
                <c:pt idx="6">
                  <c:v>8.8999999999999996E-2</c:v>
                </c:pt>
                <c:pt idx="7">
                  <c:v>0.107</c:v>
                </c:pt>
                <c:pt idx="8">
                  <c:v>0.12</c:v>
                </c:pt>
                <c:pt idx="9">
                  <c:v>0.13700000000000001</c:v>
                </c:pt>
                <c:pt idx="10">
                  <c:v>0.151</c:v>
                </c:pt>
                <c:pt idx="11">
                  <c:v>0.16800000000000001</c:v>
                </c:pt>
                <c:pt idx="12">
                  <c:v>0.18099999999999999</c:v>
                </c:pt>
                <c:pt idx="13">
                  <c:v>0.19800000000000001</c:v>
                </c:pt>
                <c:pt idx="14">
                  <c:v>0.21199999999999999</c:v>
                </c:pt>
                <c:pt idx="15">
                  <c:v>0.22500000000000001</c:v>
                </c:pt>
                <c:pt idx="16">
                  <c:v>0.24299999999999999</c:v>
                </c:pt>
                <c:pt idx="17">
                  <c:v>0.25600000000000001</c:v>
                </c:pt>
                <c:pt idx="18">
                  <c:v>0.27200000000000002</c:v>
                </c:pt>
                <c:pt idx="19">
                  <c:v>0.28499999999999998</c:v>
                </c:pt>
                <c:pt idx="20">
                  <c:v>0.30099999999999999</c:v>
                </c:pt>
                <c:pt idx="21">
                  <c:v>0.315</c:v>
                </c:pt>
                <c:pt idx="22">
                  <c:v>0.33</c:v>
                </c:pt>
                <c:pt idx="23">
                  <c:v>0.34499999999999997</c:v>
                </c:pt>
                <c:pt idx="24">
                  <c:v>0.36299999999999999</c:v>
                </c:pt>
                <c:pt idx="25">
                  <c:v>0.376</c:v>
                </c:pt>
                <c:pt idx="26">
                  <c:v>0.39200000000000002</c:v>
                </c:pt>
                <c:pt idx="27">
                  <c:v>0.40699999999999997</c:v>
                </c:pt>
                <c:pt idx="28">
                  <c:v>0.42</c:v>
                </c:pt>
                <c:pt idx="29">
                  <c:v>0.435</c:v>
                </c:pt>
                <c:pt idx="30">
                  <c:v>0.45100000000000001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DA-47CE-8E0B-043ACE238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1431199"/>
        <c:axId val="1250562479"/>
      </c:scatterChart>
      <c:valAx>
        <c:axId val="1551431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562479"/>
        <c:crosses val="autoZero"/>
        <c:crossBetween val="midCat"/>
      </c:valAx>
      <c:valAx>
        <c:axId val="125056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4311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'Lab 1 Data'!$F$5</c:f>
              <c:strCache>
                <c:ptCount val="1"/>
                <c:pt idx="0">
                  <c:v>Light Bulb as X element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'Lab 1 Data'!$F$7:$F$37</c:f>
              <c:numCache>
                <c:formatCode>General</c:formatCode>
                <c:ptCount val="31"/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</c:numCache>
            </c:numRef>
          </c:xVal>
          <c:yVal>
            <c:numRef>
              <c:f>'Lab 1 Data'!$G$7:$G$37</c:f>
              <c:numCache>
                <c:formatCode>General</c:formatCode>
                <c:ptCount val="31"/>
                <c:pt idx="1">
                  <c:v>8.0299999999999994</c:v>
                </c:pt>
                <c:pt idx="2">
                  <c:v>10.3</c:v>
                </c:pt>
                <c:pt idx="3">
                  <c:v>12.07</c:v>
                </c:pt>
                <c:pt idx="4">
                  <c:v>14.22</c:v>
                </c:pt>
                <c:pt idx="5">
                  <c:v>16.12</c:v>
                </c:pt>
                <c:pt idx="6">
                  <c:v>17.73</c:v>
                </c:pt>
                <c:pt idx="7">
                  <c:v>19.55</c:v>
                </c:pt>
                <c:pt idx="8">
                  <c:v>20.91</c:v>
                </c:pt>
                <c:pt idx="9">
                  <c:v>22.63</c:v>
                </c:pt>
                <c:pt idx="10">
                  <c:v>24.06</c:v>
                </c:pt>
                <c:pt idx="11">
                  <c:v>25.43</c:v>
                </c:pt>
                <c:pt idx="12">
                  <c:v>26.73</c:v>
                </c:pt>
                <c:pt idx="13">
                  <c:v>28.06</c:v>
                </c:pt>
                <c:pt idx="14">
                  <c:v>29.36</c:v>
                </c:pt>
                <c:pt idx="15">
                  <c:v>30.53</c:v>
                </c:pt>
                <c:pt idx="16">
                  <c:v>31.74</c:v>
                </c:pt>
                <c:pt idx="17">
                  <c:v>32.880000000000003</c:v>
                </c:pt>
                <c:pt idx="18">
                  <c:v>33.97</c:v>
                </c:pt>
                <c:pt idx="19">
                  <c:v>35.130000000000003</c:v>
                </c:pt>
                <c:pt idx="20">
                  <c:v>36.090000000000003</c:v>
                </c:pt>
                <c:pt idx="21">
                  <c:v>37.020000000000003</c:v>
                </c:pt>
                <c:pt idx="22">
                  <c:v>38.08</c:v>
                </c:pt>
                <c:pt idx="23">
                  <c:v>39.15</c:v>
                </c:pt>
                <c:pt idx="24">
                  <c:v>40.25</c:v>
                </c:pt>
                <c:pt idx="25">
                  <c:v>41.27</c:v>
                </c:pt>
                <c:pt idx="26">
                  <c:v>42.33</c:v>
                </c:pt>
                <c:pt idx="27">
                  <c:v>43.24</c:v>
                </c:pt>
                <c:pt idx="28">
                  <c:v>43.66</c:v>
                </c:pt>
                <c:pt idx="29">
                  <c:v>44.72</c:v>
                </c:pt>
                <c:pt idx="30">
                  <c:v>45.69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75-453F-9142-12A75BCC2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1431199"/>
        <c:axId val="1250562479"/>
      </c:scatterChart>
      <c:valAx>
        <c:axId val="1551431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562479"/>
        <c:crosses val="autoZero"/>
        <c:crossBetween val="midCat"/>
      </c:valAx>
      <c:valAx>
        <c:axId val="125056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4311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Diode as Element</a:t>
            </a:r>
            <a:r>
              <a:rPr lang="en-US" baseline="0"/>
              <a:t> 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Positive Diode Voltage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'Lab 1 Data'!$K$7:$K$40</c:f>
              <c:numCache>
                <c:formatCode>General</c:formatCode>
                <c:ptCount val="34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16.3</c:v>
                </c:pt>
              </c:numCache>
            </c:numRef>
          </c:xVal>
          <c:yVal>
            <c:numRef>
              <c:f>'Lab 1 Data'!$L$7:$L$40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1.4999999999999999E-2</c:v>
                </c:pt>
                <c:pt idx="3">
                  <c:v>0.04</c:v>
                </c:pt>
                <c:pt idx="4">
                  <c:v>0.06</c:v>
                </c:pt>
                <c:pt idx="5">
                  <c:v>0.08</c:v>
                </c:pt>
                <c:pt idx="6">
                  <c:v>0.11</c:v>
                </c:pt>
                <c:pt idx="7">
                  <c:v>0.13</c:v>
                </c:pt>
                <c:pt idx="8">
                  <c:v>0.15</c:v>
                </c:pt>
                <c:pt idx="9">
                  <c:v>0.17</c:v>
                </c:pt>
                <c:pt idx="10">
                  <c:v>0.19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0.39500000000000002</c:v>
                </c:pt>
                <c:pt idx="20">
                  <c:v>0.42</c:v>
                </c:pt>
                <c:pt idx="21">
                  <c:v>0.44</c:v>
                </c:pt>
                <c:pt idx="22">
                  <c:v>0.46500000000000002</c:v>
                </c:pt>
                <c:pt idx="23">
                  <c:v>0.49</c:v>
                </c:pt>
                <c:pt idx="24">
                  <c:v>0.51</c:v>
                </c:pt>
                <c:pt idx="25">
                  <c:v>0.53</c:v>
                </c:pt>
                <c:pt idx="26">
                  <c:v>0.55000000000000004</c:v>
                </c:pt>
                <c:pt idx="27">
                  <c:v>0.57499999999999996</c:v>
                </c:pt>
                <c:pt idx="28">
                  <c:v>0.6</c:v>
                </c:pt>
                <c:pt idx="29">
                  <c:v>0.62</c:v>
                </c:pt>
                <c:pt idx="30">
                  <c:v>0.64</c:v>
                </c:pt>
                <c:pt idx="31">
                  <c:v>0.66</c:v>
                </c:pt>
                <c:pt idx="32">
                  <c:v>0.69</c:v>
                </c:pt>
                <c:pt idx="33">
                  <c:v>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2D-4C63-80A2-C1C5C213D884}"/>
            </c:ext>
          </c:extLst>
        </c:ser>
        <c:ser>
          <c:idx val="1"/>
          <c:order val="1"/>
          <c:tx>
            <c:v>Negative Diode Voltage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'Lab 1 Data'!$P$7:$P$40</c:f>
              <c:numCache>
                <c:formatCode>General</c:formatCode>
                <c:ptCount val="34"/>
                <c:pt idx="0">
                  <c:v>0</c:v>
                </c:pt>
                <c:pt idx="1">
                  <c:v>-0.5</c:v>
                </c:pt>
                <c:pt idx="2">
                  <c:v>-1</c:v>
                </c:pt>
                <c:pt idx="3">
                  <c:v>-1.5</c:v>
                </c:pt>
                <c:pt idx="4">
                  <c:v>-2</c:v>
                </c:pt>
                <c:pt idx="5">
                  <c:v>-2.5</c:v>
                </c:pt>
                <c:pt idx="6">
                  <c:v>-3</c:v>
                </c:pt>
                <c:pt idx="7">
                  <c:v>-3.5</c:v>
                </c:pt>
                <c:pt idx="8">
                  <c:v>-4</c:v>
                </c:pt>
                <c:pt idx="9">
                  <c:v>-4.5</c:v>
                </c:pt>
                <c:pt idx="10">
                  <c:v>-5</c:v>
                </c:pt>
                <c:pt idx="11">
                  <c:v>-5.5</c:v>
                </c:pt>
                <c:pt idx="12">
                  <c:v>-6</c:v>
                </c:pt>
                <c:pt idx="13">
                  <c:v>-6.5</c:v>
                </c:pt>
                <c:pt idx="14">
                  <c:v>-7</c:v>
                </c:pt>
                <c:pt idx="15">
                  <c:v>-7.5</c:v>
                </c:pt>
                <c:pt idx="16">
                  <c:v>-8</c:v>
                </c:pt>
                <c:pt idx="17">
                  <c:v>-8.5</c:v>
                </c:pt>
                <c:pt idx="18">
                  <c:v>-9</c:v>
                </c:pt>
                <c:pt idx="19">
                  <c:v>-9.5</c:v>
                </c:pt>
                <c:pt idx="20">
                  <c:v>-10</c:v>
                </c:pt>
                <c:pt idx="21">
                  <c:v>-10.5</c:v>
                </c:pt>
                <c:pt idx="22">
                  <c:v>-11</c:v>
                </c:pt>
                <c:pt idx="23">
                  <c:v>-11.5</c:v>
                </c:pt>
                <c:pt idx="24">
                  <c:v>-12</c:v>
                </c:pt>
                <c:pt idx="25">
                  <c:v>-12.5</c:v>
                </c:pt>
                <c:pt idx="26">
                  <c:v>-13</c:v>
                </c:pt>
                <c:pt idx="27">
                  <c:v>-13.5</c:v>
                </c:pt>
                <c:pt idx="28">
                  <c:v>-14</c:v>
                </c:pt>
                <c:pt idx="29">
                  <c:v>-14.5</c:v>
                </c:pt>
                <c:pt idx="30">
                  <c:v>-15</c:v>
                </c:pt>
                <c:pt idx="31">
                  <c:v>-15.5</c:v>
                </c:pt>
                <c:pt idx="32">
                  <c:v>-16</c:v>
                </c:pt>
                <c:pt idx="33">
                  <c:v>-16.3</c:v>
                </c:pt>
              </c:numCache>
            </c:numRef>
          </c:xVal>
          <c:yVal>
            <c:numRef>
              <c:f>'Lab 1 Data'!$Q$7:$Q$40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-0.01</c:v>
                </c:pt>
                <c:pt idx="25">
                  <c:v>-0.03</c:v>
                </c:pt>
                <c:pt idx="26">
                  <c:v>-0.06</c:v>
                </c:pt>
                <c:pt idx="27">
                  <c:v>-0.08</c:v>
                </c:pt>
                <c:pt idx="28">
                  <c:v>-0.1</c:v>
                </c:pt>
                <c:pt idx="29">
                  <c:v>-0.12</c:v>
                </c:pt>
                <c:pt idx="30">
                  <c:v>-0.15</c:v>
                </c:pt>
                <c:pt idx="31">
                  <c:v>-0.17</c:v>
                </c:pt>
                <c:pt idx="32">
                  <c:v>-0.19</c:v>
                </c:pt>
                <c:pt idx="33">
                  <c:v>-0.21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B2D-4C63-80A2-C1C5C213D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1259808"/>
        <c:axId val="1871179792"/>
      </c:scatterChart>
      <c:valAx>
        <c:axId val="130125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179792"/>
        <c:crosses val="autoZero"/>
        <c:crossBetween val="midCat"/>
      </c:valAx>
      <c:valAx>
        <c:axId val="187117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259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69DE2A2-D84A-4C4F-9E86-B4594442C746}">
  <sheetPr/>
  <sheetViews>
    <sheetView zoomScale="146" workbookViewId="0" zoomToFit="1"/>
  </sheetViews>
  <pageMargins left="0" right="0" top="0.25" bottom="0.25" header="0" footer="0"/>
  <pageSetup orientation="landscape" blackAndWhite="1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C75BD64-94F3-44EF-AA31-7386C1C6F274}">
  <sheetPr/>
  <sheetViews>
    <sheetView zoomScale="146" workbookViewId="0" zoomToFit="1"/>
  </sheetViews>
  <pageMargins left="0" right="0" top="0.25" bottom="0.25" header="0" footer="0"/>
  <pageSetup orientation="landscape" blackAndWhite="1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A01CA76-1F73-4521-AD3D-95567023ECD8}">
  <sheetPr/>
  <sheetViews>
    <sheetView tabSelected="1" zoomScale="146" workbookViewId="0" zoomToFit="1"/>
  </sheetViews>
  <pageMargins left="0" right="0" top="0.25" bottom="0.25" header="0" footer="0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35908" cy="720899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23CC0C-4C40-D179-8722-C233E9A6186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635908" cy="720899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5DEBEF-8AEF-9228-D56B-A459FC6EDEB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635908" cy="720899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A39E2E-7D27-71C0-E04C-C1D872F464C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6CB45-7837-4F51-AA01-DA599AE307E0}">
  <dimension ref="A1:T40"/>
  <sheetViews>
    <sheetView workbookViewId="0">
      <selection activeCell="O7" sqref="O7"/>
    </sheetView>
  </sheetViews>
  <sheetFormatPr defaultRowHeight="15" x14ac:dyDescent="0.25"/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spans="1:20" x14ac:dyDescent="0.25">
      <c r="A3" s="1" t="s">
        <v>1</v>
      </c>
      <c r="B3" s="1"/>
      <c r="C3" s="1"/>
      <c r="D3" s="1"/>
      <c r="E3" s="1"/>
      <c r="F3" s="1"/>
      <c r="G3" s="1"/>
      <c r="H3" s="1"/>
    </row>
    <row r="5" spans="1:20" x14ac:dyDescent="0.25">
      <c r="A5" s="1" t="s">
        <v>2</v>
      </c>
      <c r="B5" s="1"/>
      <c r="C5" s="1"/>
      <c r="D5" s="1"/>
      <c r="F5" s="1" t="s">
        <v>5</v>
      </c>
      <c r="G5" s="1"/>
      <c r="H5" s="1"/>
      <c r="I5" s="1"/>
      <c r="K5" s="1" t="s">
        <v>6</v>
      </c>
      <c r="L5" s="1"/>
      <c r="M5" s="1"/>
      <c r="N5" s="1"/>
      <c r="P5" t="s">
        <v>7</v>
      </c>
    </row>
    <row r="6" spans="1:20" x14ac:dyDescent="0.25">
      <c r="A6" t="s">
        <v>3</v>
      </c>
      <c r="B6" s="1" t="s">
        <v>4</v>
      </c>
      <c r="C6" s="1"/>
      <c r="D6" s="1"/>
      <c r="F6" t="s">
        <v>3</v>
      </c>
      <c r="G6" s="1" t="s">
        <v>4</v>
      </c>
      <c r="H6" s="1"/>
      <c r="I6" s="1"/>
      <c r="K6" t="s">
        <v>3</v>
      </c>
      <c r="L6" s="1" t="s">
        <v>4</v>
      </c>
      <c r="M6" s="1"/>
      <c r="N6" s="1"/>
      <c r="P6" t="s">
        <v>3</v>
      </c>
      <c r="Q6" t="s">
        <v>4</v>
      </c>
    </row>
    <row r="7" spans="1:20" x14ac:dyDescent="0.25">
      <c r="A7">
        <v>0</v>
      </c>
      <c r="B7">
        <v>-1.6E-2</v>
      </c>
      <c r="K7">
        <v>0</v>
      </c>
      <c r="L7">
        <v>0</v>
      </c>
      <c r="P7">
        <f>K7*$T$7</f>
        <v>0</v>
      </c>
      <c r="Q7">
        <v>0</v>
      </c>
      <c r="T7">
        <v>-1</v>
      </c>
    </row>
    <row r="8" spans="1:20" x14ac:dyDescent="0.25">
      <c r="A8">
        <v>0.5</v>
      </c>
      <c r="B8">
        <v>1.6E-2</v>
      </c>
      <c r="F8">
        <v>0.5</v>
      </c>
      <c r="G8">
        <v>8.0299999999999994</v>
      </c>
      <c r="K8">
        <v>0.5</v>
      </c>
      <c r="L8">
        <v>0</v>
      </c>
      <c r="P8">
        <f t="shared" ref="P8:P40" si="0">K8*$T$7</f>
        <v>-0.5</v>
      </c>
      <c r="Q8">
        <v>0</v>
      </c>
    </row>
    <row r="9" spans="1:20" x14ac:dyDescent="0.25">
      <c r="A9">
        <v>1</v>
      </c>
      <c r="B9">
        <v>2.9000000000000001E-2</v>
      </c>
      <c r="F9">
        <v>1</v>
      </c>
      <c r="G9">
        <v>10.3</v>
      </c>
      <c r="K9">
        <v>1</v>
      </c>
      <c r="L9">
        <v>1.4999999999999999E-2</v>
      </c>
      <c r="P9">
        <f t="shared" si="0"/>
        <v>-1</v>
      </c>
      <c r="Q9">
        <v>0</v>
      </c>
    </row>
    <row r="10" spans="1:20" x14ac:dyDescent="0.25">
      <c r="A10">
        <v>1.5</v>
      </c>
      <c r="B10">
        <v>4.4999999999999998E-2</v>
      </c>
      <c r="F10">
        <v>1.5</v>
      </c>
      <c r="G10">
        <v>12.07</v>
      </c>
      <c r="K10">
        <v>1.5</v>
      </c>
      <c r="L10">
        <v>0.04</v>
      </c>
      <c r="P10">
        <f t="shared" si="0"/>
        <v>-1.5</v>
      </c>
      <c r="Q10">
        <v>0</v>
      </c>
    </row>
    <row r="11" spans="1:20" x14ac:dyDescent="0.25">
      <c r="A11">
        <v>2</v>
      </c>
      <c r="B11">
        <v>0.06</v>
      </c>
      <c r="F11">
        <v>2</v>
      </c>
      <c r="G11">
        <v>14.22</v>
      </c>
      <c r="K11">
        <v>2</v>
      </c>
      <c r="L11">
        <v>0.06</v>
      </c>
      <c r="P11">
        <f t="shared" si="0"/>
        <v>-2</v>
      </c>
      <c r="Q11">
        <v>0</v>
      </c>
    </row>
    <row r="12" spans="1:20" x14ac:dyDescent="0.25">
      <c r="A12">
        <v>2.5</v>
      </c>
      <c r="B12">
        <v>7.5999999999999998E-2</v>
      </c>
      <c r="F12">
        <v>2.5</v>
      </c>
      <c r="G12">
        <v>16.12</v>
      </c>
      <c r="K12">
        <v>2.5</v>
      </c>
      <c r="L12">
        <v>0.08</v>
      </c>
      <c r="P12">
        <f t="shared" si="0"/>
        <v>-2.5</v>
      </c>
      <c r="Q12">
        <v>0</v>
      </c>
    </row>
    <row r="13" spans="1:20" x14ac:dyDescent="0.25">
      <c r="A13">
        <v>3</v>
      </c>
      <c r="B13">
        <v>8.8999999999999996E-2</v>
      </c>
      <c r="F13">
        <v>3</v>
      </c>
      <c r="G13">
        <v>17.73</v>
      </c>
      <c r="K13">
        <v>3</v>
      </c>
      <c r="L13">
        <v>0.11</v>
      </c>
      <c r="P13">
        <f t="shared" si="0"/>
        <v>-3</v>
      </c>
      <c r="Q13">
        <v>0</v>
      </c>
    </row>
    <row r="14" spans="1:20" x14ac:dyDescent="0.25">
      <c r="A14">
        <v>3.5</v>
      </c>
      <c r="B14">
        <v>0.107</v>
      </c>
      <c r="F14">
        <v>3.5</v>
      </c>
      <c r="G14">
        <v>19.55</v>
      </c>
      <c r="K14">
        <v>3.5</v>
      </c>
      <c r="L14">
        <v>0.13</v>
      </c>
      <c r="P14">
        <f t="shared" si="0"/>
        <v>-3.5</v>
      </c>
      <c r="Q14">
        <v>0</v>
      </c>
    </row>
    <row r="15" spans="1:20" x14ac:dyDescent="0.25">
      <c r="A15">
        <v>4</v>
      </c>
      <c r="B15">
        <v>0.12</v>
      </c>
      <c r="F15">
        <v>4</v>
      </c>
      <c r="G15">
        <v>20.91</v>
      </c>
      <c r="K15">
        <v>4</v>
      </c>
      <c r="L15">
        <v>0.15</v>
      </c>
      <c r="P15">
        <f t="shared" si="0"/>
        <v>-4</v>
      </c>
      <c r="Q15">
        <v>0</v>
      </c>
    </row>
    <row r="16" spans="1:20" x14ac:dyDescent="0.25">
      <c r="A16">
        <v>4.5</v>
      </c>
      <c r="B16">
        <v>0.13700000000000001</v>
      </c>
      <c r="F16">
        <v>4.5</v>
      </c>
      <c r="G16">
        <v>22.63</v>
      </c>
      <c r="K16">
        <v>4.5</v>
      </c>
      <c r="L16">
        <v>0.17</v>
      </c>
      <c r="P16">
        <f t="shared" si="0"/>
        <v>-4.5</v>
      </c>
      <c r="Q16">
        <v>0</v>
      </c>
    </row>
    <row r="17" spans="1:17" x14ac:dyDescent="0.25">
      <c r="A17">
        <v>5</v>
      </c>
      <c r="B17">
        <v>0.151</v>
      </c>
      <c r="F17">
        <v>5</v>
      </c>
      <c r="G17">
        <v>24.06</v>
      </c>
      <c r="K17">
        <v>5</v>
      </c>
      <c r="L17">
        <v>0.19</v>
      </c>
      <c r="P17">
        <f t="shared" si="0"/>
        <v>-5</v>
      </c>
      <c r="Q17">
        <v>0</v>
      </c>
    </row>
    <row r="18" spans="1:17" x14ac:dyDescent="0.25">
      <c r="A18">
        <v>5.5</v>
      </c>
      <c r="B18">
        <v>0.16800000000000001</v>
      </c>
      <c r="F18">
        <v>5.5</v>
      </c>
      <c r="G18">
        <v>25.43</v>
      </c>
      <c r="K18">
        <v>5.5</v>
      </c>
      <c r="L18">
        <v>0.22</v>
      </c>
      <c r="P18">
        <f t="shared" si="0"/>
        <v>-5.5</v>
      </c>
      <c r="Q18">
        <v>0</v>
      </c>
    </row>
    <row r="19" spans="1:17" x14ac:dyDescent="0.25">
      <c r="A19">
        <v>6</v>
      </c>
      <c r="B19">
        <v>0.18099999999999999</v>
      </c>
      <c r="F19">
        <v>6</v>
      </c>
      <c r="G19">
        <v>26.73</v>
      </c>
      <c r="K19">
        <v>6</v>
      </c>
      <c r="L19">
        <v>0.24</v>
      </c>
      <c r="P19">
        <f t="shared" si="0"/>
        <v>-6</v>
      </c>
      <c r="Q19">
        <v>0</v>
      </c>
    </row>
    <row r="20" spans="1:17" x14ac:dyDescent="0.25">
      <c r="A20">
        <v>6.5</v>
      </c>
      <c r="B20">
        <v>0.19800000000000001</v>
      </c>
      <c r="F20">
        <v>6.5</v>
      </c>
      <c r="G20">
        <v>28.06</v>
      </c>
      <c r="K20">
        <v>6.5</v>
      </c>
      <c r="L20">
        <v>0.26</v>
      </c>
      <c r="P20">
        <f t="shared" si="0"/>
        <v>-6.5</v>
      </c>
      <c r="Q20">
        <v>0</v>
      </c>
    </row>
    <row r="21" spans="1:17" x14ac:dyDescent="0.25">
      <c r="A21">
        <v>7</v>
      </c>
      <c r="B21">
        <v>0.21199999999999999</v>
      </c>
      <c r="F21">
        <v>7</v>
      </c>
      <c r="G21">
        <v>29.36</v>
      </c>
      <c r="K21">
        <v>7</v>
      </c>
      <c r="L21">
        <v>0.28000000000000003</v>
      </c>
      <c r="P21">
        <f t="shared" si="0"/>
        <v>-7</v>
      </c>
      <c r="Q21">
        <v>0</v>
      </c>
    </row>
    <row r="22" spans="1:17" x14ac:dyDescent="0.25">
      <c r="A22">
        <v>7.5</v>
      </c>
      <c r="B22">
        <v>0.22500000000000001</v>
      </c>
      <c r="F22">
        <v>7.5</v>
      </c>
      <c r="G22">
        <v>30.53</v>
      </c>
      <c r="K22">
        <v>7.5</v>
      </c>
      <c r="L22">
        <v>0.3</v>
      </c>
      <c r="P22">
        <f t="shared" si="0"/>
        <v>-7.5</v>
      </c>
      <c r="Q22">
        <v>0</v>
      </c>
    </row>
    <row r="23" spans="1:17" x14ac:dyDescent="0.25">
      <c r="A23">
        <v>8</v>
      </c>
      <c r="B23">
        <v>0.24299999999999999</v>
      </c>
      <c r="F23">
        <v>8</v>
      </c>
      <c r="G23">
        <v>31.74</v>
      </c>
      <c r="K23">
        <v>8</v>
      </c>
      <c r="L23">
        <v>0.33</v>
      </c>
      <c r="P23">
        <f t="shared" si="0"/>
        <v>-8</v>
      </c>
      <c r="Q23">
        <v>0</v>
      </c>
    </row>
    <row r="24" spans="1:17" x14ac:dyDescent="0.25">
      <c r="A24">
        <v>8.5</v>
      </c>
      <c r="B24">
        <v>0.25600000000000001</v>
      </c>
      <c r="F24">
        <v>8.5</v>
      </c>
      <c r="G24">
        <v>32.880000000000003</v>
      </c>
      <c r="K24">
        <v>8.5</v>
      </c>
      <c r="L24">
        <v>0.35</v>
      </c>
      <c r="P24">
        <f t="shared" si="0"/>
        <v>-8.5</v>
      </c>
      <c r="Q24">
        <v>0</v>
      </c>
    </row>
    <row r="25" spans="1:17" x14ac:dyDescent="0.25">
      <c r="A25">
        <v>9</v>
      </c>
      <c r="B25">
        <v>0.27200000000000002</v>
      </c>
      <c r="F25">
        <v>9</v>
      </c>
      <c r="G25">
        <v>33.97</v>
      </c>
      <c r="K25">
        <v>9</v>
      </c>
      <c r="L25">
        <v>0.37</v>
      </c>
      <c r="P25">
        <f t="shared" si="0"/>
        <v>-9</v>
      </c>
      <c r="Q25">
        <v>0</v>
      </c>
    </row>
    <row r="26" spans="1:17" x14ac:dyDescent="0.25">
      <c r="A26">
        <v>9.5</v>
      </c>
      <c r="B26">
        <v>0.28499999999999998</v>
      </c>
      <c r="F26">
        <v>9.5</v>
      </c>
      <c r="G26">
        <v>35.130000000000003</v>
      </c>
      <c r="K26">
        <v>9.5</v>
      </c>
      <c r="L26">
        <v>0.39500000000000002</v>
      </c>
      <c r="P26">
        <f t="shared" si="0"/>
        <v>-9.5</v>
      </c>
      <c r="Q26">
        <v>0</v>
      </c>
    </row>
    <row r="27" spans="1:17" x14ac:dyDescent="0.25">
      <c r="A27">
        <v>10</v>
      </c>
      <c r="B27">
        <v>0.30099999999999999</v>
      </c>
      <c r="F27">
        <v>10</v>
      </c>
      <c r="G27">
        <v>36.090000000000003</v>
      </c>
      <c r="K27">
        <v>10</v>
      </c>
      <c r="L27">
        <v>0.42</v>
      </c>
      <c r="P27">
        <f t="shared" si="0"/>
        <v>-10</v>
      </c>
      <c r="Q27">
        <v>0</v>
      </c>
    </row>
    <row r="28" spans="1:17" x14ac:dyDescent="0.25">
      <c r="A28">
        <v>10.5</v>
      </c>
      <c r="B28">
        <v>0.315</v>
      </c>
      <c r="F28">
        <v>10.5</v>
      </c>
      <c r="G28">
        <v>37.020000000000003</v>
      </c>
      <c r="K28">
        <v>10.5</v>
      </c>
      <c r="L28">
        <v>0.44</v>
      </c>
      <c r="P28">
        <f t="shared" si="0"/>
        <v>-10.5</v>
      </c>
      <c r="Q28">
        <v>0</v>
      </c>
    </row>
    <row r="29" spans="1:17" x14ac:dyDescent="0.25">
      <c r="A29">
        <v>11</v>
      </c>
      <c r="B29">
        <v>0.33</v>
      </c>
      <c r="F29">
        <v>11</v>
      </c>
      <c r="G29">
        <v>38.08</v>
      </c>
      <c r="K29">
        <v>11</v>
      </c>
      <c r="L29">
        <v>0.46500000000000002</v>
      </c>
      <c r="P29">
        <f t="shared" si="0"/>
        <v>-11</v>
      </c>
      <c r="Q29">
        <v>0</v>
      </c>
    </row>
    <row r="30" spans="1:17" x14ac:dyDescent="0.25">
      <c r="A30">
        <v>11.5</v>
      </c>
      <c r="B30">
        <v>0.34499999999999997</v>
      </c>
      <c r="F30">
        <v>11.5</v>
      </c>
      <c r="G30">
        <v>39.15</v>
      </c>
      <c r="K30">
        <v>11.5</v>
      </c>
      <c r="L30">
        <v>0.49</v>
      </c>
      <c r="P30">
        <f t="shared" si="0"/>
        <v>-11.5</v>
      </c>
      <c r="Q30">
        <v>0</v>
      </c>
    </row>
    <row r="31" spans="1:17" x14ac:dyDescent="0.25">
      <c r="A31">
        <v>12</v>
      </c>
      <c r="B31">
        <v>0.36299999999999999</v>
      </c>
      <c r="F31">
        <v>12</v>
      </c>
      <c r="G31">
        <v>40.25</v>
      </c>
      <c r="K31">
        <v>12</v>
      </c>
      <c r="L31">
        <v>0.51</v>
      </c>
      <c r="P31">
        <f t="shared" si="0"/>
        <v>-12</v>
      </c>
      <c r="Q31">
        <v>-0.01</v>
      </c>
    </row>
    <row r="32" spans="1:17" x14ac:dyDescent="0.25">
      <c r="A32">
        <v>12.5</v>
      </c>
      <c r="B32">
        <v>0.376</v>
      </c>
      <c r="F32">
        <v>12.5</v>
      </c>
      <c r="G32">
        <v>41.27</v>
      </c>
      <c r="K32">
        <v>12.5</v>
      </c>
      <c r="L32">
        <v>0.53</v>
      </c>
      <c r="P32">
        <f t="shared" si="0"/>
        <v>-12.5</v>
      </c>
      <c r="Q32">
        <v>-0.03</v>
      </c>
    </row>
    <row r="33" spans="1:17" x14ac:dyDescent="0.25">
      <c r="A33">
        <v>13</v>
      </c>
      <c r="B33">
        <v>0.39200000000000002</v>
      </c>
      <c r="F33">
        <v>13</v>
      </c>
      <c r="G33">
        <v>42.33</v>
      </c>
      <c r="K33">
        <v>13</v>
      </c>
      <c r="L33">
        <v>0.55000000000000004</v>
      </c>
      <c r="P33">
        <f t="shared" si="0"/>
        <v>-13</v>
      </c>
      <c r="Q33">
        <v>-0.06</v>
      </c>
    </row>
    <row r="34" spans="1:17" x14ac:dyDescent="0.25">
      <c r="A34">
        <v>13.5</v>
      </c>
      <c r="B34">
        <v>0.40699999999999997</v>
      </c>
      <c r="F34">
        <v>13.5</v>
      </c>
      <c r="G34">
        <v>43.24</v>
      </c>
      <c r="K34">
        <v>13.5</v>
      </c>
      <c r="L34">
        <v>0.57499999999999996</v>
      </c>
      <c r="P34">
        <f t="shared" si="0"/>
        <v>-13.5</v>
      </c>
      <c r="Q34">
        <v>-0.08</v>
      </c>
    </row>
    <row r="35" spans="1:17" x14ac:dyDescent="0.25">
      <c r="A35">
        <v>14</v>
      </c>
      <c r="B35">
        <v>0.42</v>
      </c>
      <c r="F35">
        <v>14</v>
      </c>
      <c r="G35">
        <v>43.66</v>
      </c>
      <c r="K35">
        <v>14</v>
      </c>
      <c r="L35">
        <v>0.6</v>
      </c>
      <c r="P35">
        <f t="shared" si="0"/>
        <v>-14</v>
      </c>
      <c r="Q35">
        <v>-0.1</v>
      </c>
    </row>
    <row r="36" spans="1:17" x14ac:dyDescent="0.25">
      <c r="A36">
        <v>14.5</v>
      </c>
      <c r="B36">
        <v>0.435</v>
      </c>
      <c r="F36">
        <v>14.5</v>
      </c>
      <c r="G36">
        <v>44.72</v>
      </c>
      <c r="K36">
        <v>14.5</v>
      </c>
      <c r="L36">
        <v>0.62</v>
      </c>
      <c r="P36">
        <f t="shared" si="0"/>
        <v>-14.5</v>
      </c>
      <c r="Q36">
        <v>-0.12</v>
      </c>
    </row>
    <row r="37" spans="1:17" x14ac:dyDescent="0.25">
      <c r="A37">
        <v>15</v>
      </c>
      <c r="B37">
        <v>0.45100000000000001</v>
      </c>
      <c r="F37">
        <v>15</v>
      </c>
      <c r="G37">
        <v>45.69</v>
      </c>
      <c r="K37">
        <v>15</v>
      </c>
      <c r="L37">
        <v>0.64</v>
      </c>
      <c r="P37">
        <f t="shared" si="0"/>
        <v>-15</v>
      </c>
      <c r="Q37">
        <v>-0.15</v>
      </c>
    </row>
    <row r="38" spans="1:17" x14ac:dyDescent="0.25">
      <c r="K38">
        <v>15.5</v>
      </c>
      <c r="L38">
        <v>0.66</v>
      </c>
      <c r="P38">
        <f t="shared" si="0"/>
        <v>-15.5</v>
      </c>
      <c r="Q38">
        <v>-0.17</v>
      </c>
    </row>
    <row r="39" spans="1:17" x14ac:dyDescent="0.25">
      <c r="K39">
        <v>16</v>
      </c>
      <c r="L39">
        <v>0.69</v>
      </c>
      <c r="P39">
        <f t="shared" si="0"/>
        <v>-16</v>
      </c>
      <c r="Q39">
        <v>-0.19</v>
      </c>
    </row>
    <row r="40" spans="1:17" x14ac:dyDescent="0.25">
      <c r="K40">
        <v>16.3</v>
      </c>
      <c r="L40">
        <v>0.7</v>
      </c>
      <c r="P40">
        <f t="shared" si="0"/>
        <v>-16.3</v>
      </c>
      <c r="Q40">
        <v>-0.21</v>
      </c>
    </row>
  </sheetData>
  <mergeCells count="8">
    <mergeCell ref="A1:O1"/>
    <mergeCell ref="A3:H3"/>
    <mergeCell ref="A5:D5"/>
    <mergeCell ref="B6:D6"/>
    <mergeCell ref="F5:I5"/>
    <mergeCell ref="G6:I6"/>
    <mergeCell ref="L6:N6"/>
    <mergeCell ref="K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3</vt:i4>
      </vt:variant>
    </vt:vector>
  </HeadingPairs>
  <TitlesOfParts>
    <vt:vector size="4" baseType="lpstr">
      <vt:lpstr>Lab 1 Data</vt:lpstr>
      <vt:lpstr>Resistor as X element</vt:lpstr>
      <vt:lpstr>Light Bulb as X element</vt:lpstr>
      <vt:lpstr>Diode as X Element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Moss</dc:creator>
  <cp:lastModifiedBy>Ethan Moss</cp:lastModifiedBy>
  <cp:lastPrinted>2026-08-31T11:28:49Z</cp:lastPrinted>
  <dcterms:created xsi:type="dcterms:W3CDTF">2026-08-25T21:31:31Z</dcterms:created>
  <dcterms:modified xsi:type="dcterms:W3CDTF">2026-08-31T11:29:38Z</dcterms:modified>
</cp:coreProperties>
</file>